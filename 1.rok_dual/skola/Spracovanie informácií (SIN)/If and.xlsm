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857A39E2-67AF-9BA6-E15C-A4B3A0C75593}"/>
  <workbookPr codeName="Tento_zošit" defaultThemeVersion="166925"/>
  <mc:AlternateContent xmlns:mc="http://schemas.openxmlformats.org/markup-compatibility/2006">
    <mc:Choice Requires="x15">
      <x15ac:absPath xmlns:x15ac="http://schemas.microsoft.com/office/spreadsheetml/2010/11/ac" url="C:\Users\A200354239\Downloads\"/>
    </mc:Choice>
  </mc:AlternateContent>
  <xr:revisionPtr revIDLastSave="0" documentId="13_ncr:1_{7686599A-AE10-4E90-BF5B-098AC82EDFCA}" xr6:coauthVersionLast="47" xr6:coauthVersionMax="47" xr10:uidLastSave="{00000000-0000-0000-0000-000000000000}"/>
  <bookViews>
    <workbookView xWindow="-108" yWindow="-108" windowWidth="23256" windowHeight="12456" activeTab="3" xr2:uid="{A4D0AD16-1DFC-E943-863A-1E95A65FC114}"/>
  </bookViews>
  <sheets>
    <sheet name="What if " sheetId="4" r:id="rId1"/>
    <sheet name="Combine that" sheetId="5" r:id="rId2"/>
    <sheet name="DunderMifflin sales" sheetId="3" r:id="rId3"/>
    <sheet name="F1 constructors standings" sheetId="1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D9" i="1"/>
  <c r="D10" i="1"/>
  <c r="D11" i="1"/>
  <c r="D12" i="1"/>
  <c r="D13" i="1"/>
  <c r="D14" i="1"/>
  <c r="D15" i="1"/>
  <c r="D16" i="1"/>
  <c r="D17" i="1"/>
  <c r="H11" i="3"/>
  <c r="H12" i="3"/>
  <c r="H13" i="3"/>
  <c r="H14" i="3"/>
  <c r="H10" i="3"/>
  <c r="G11" i="3"/>
  <c r="G12" i="3"/>
  <c r="G13" i="3"/>
  <c r="G14" i="3"/>
  <c r="G10" i="3"/>
  <c r="E4" i="5"/>
  <c r="E5" i="5"/>
  <c r="E6" i="5"/>
  <c r="E7" i="5"/>
  <c r="E8" i="5"/>
  <c r="E9" i="5"/>
  <c r="E3" i="5"/>
  <c r="D4" i="5"/>
  <c r="D5" i="5"/>
  <c r="D6" i="5"/>
  <c r="D7" i="5"/>
  <c r="D8" i="5"/>
  <c r="D9" i="5"/>
  <c r="D3" i="5"/>
  <c r="E13" i="4"/>
  <c r="E14" i="4"/>
  <c r="E15" i="4"/>
  <c r="E16" i="4"/>
  <c r="E17" i="4"/>
  <c r="E18" i="4"/>
  <c r="E12" i="4"/>
  <c r="F11" i="3"/>
  <c r="F12" i="3"/>
  <c r="F13" i="3"/>
  <c r="F14" i="3"/>
  <c r="F10" i="3"/>
</calcChain>
</file>

<file path=xl/sharedStrings.xml><?xml version="1.0" encoding="utf-8"?>
<sst xmlns="http://schemas.openxmlformats.org/spreadsheetml/2006/main" count="96" uniqueCount="68">
  <si>
    <t>FERRARI</t>
  </si>
  <si>
    <t>MERCEDES</t>
  </si>
  <si>
    <t>ALPINE RENAULT</t>
  </si>
  <si>
    <t>MCLAREN MERCEDES</t>
  </si>
  <si>
    <t>ASTON MARTIN ARAMCO MERCEDES</t>
  </si>
  <si>
    <t>HAAS FERRARI</t>
  </si>
  <si>
    <t>WILLIAMS MERCEDES</t>
  </si>
  <si>
    <t>Constructors standings season 2022</t>
  </si>
  <si>
    <t>Special finance bonus</t>
  </si>
  <si>
    <t>&gt; 600 points</t>
  </si>
  <si>
    <t>599 - 300 points</t>
  </si>
  <si>
    <t>299 - 100 points</t>
  </si>
  <si>
    <t>Division Sales</t>
  </si>
  <si>
    <t>Q1</t>
  </si>
  <si>
    <t>Q2</t>
  </si>
  <si>
    <t>Q3</t>
  </si>
  <si>
    <t>Q4</t>
  </si>
  <si>
    <t>Total</t>
  </si>
  <si>
    <t>Bonus</t>
  </si>
  <si>
    <t>Peter</t>
  </si>
  <si>
    <t>pos.</t>
  </si>
  <si>
    <t>Team</t>
  </si>
  <si>
    <t>points</t>
  </si>
  <si>
    <t>bonus</t>
  </si>
  <si>
    <t>Year bonus</t>
  </si>
  <si>
    <t>Sales goal</t>
  </si>
  <si>
    <t>Christmas bonus</t>
  </si>
  <si>
    <t>Year sales goal</t>
  </si>
  <si>
    <t>Q4 sales goal</t>
  </si>
  <si>
    <t>Bonus rate Q4</t>
  </si>
  <si>
    <t>Salesperson</t>
  </si>
  <si>
    <t>Dwight</t>
  </si>
  <si>
    <t>Angela</t>
  </si>
  <si>
    <t>Jim</t>
  </si>
  <si>
    <t>Kelly</t>
  </si>
  <si>
    <t>Fiscal year 2022</t>
  </si>
  <si>
    <t>Andy</t>
  </si>
  <si>
    <t>Person</t>
  </si>
  <si>
    <t>Activity</t>
  </si>
  <si>
    <t>George</t>
  </si>
  <si>
    <t>Leon</t>
  </si>
  <si>
    <t>Anne</t>
  </si>
  <si>
    <t>Yurij</t>
  </si>
  <si>
    <t>Racing</t>
  </si>
  <si>
    <t>Accounting</t>
  </si>
  <si>
    <t>Gardening</t>
  </si>
  <si>
    <t>Painting</t>
  </si>
  <si>
    <t>Valery</t>
  </si>
  <si>
    <t>Cutting</t>
  </si>
  <si>
    <t>Greta</t>
  </si>
  <si>
    <t>Complaining</t>
  </si>
  <si>
    <t>Shadowing</t>
  </si>
  <si>
    <t>Rewards</t>
  </si>
  <si>
    <t>Reward</t>
  </si>
  <si>
    <t>Time spent</t>
  </si>
  <si>
    <t>from Q4</t>
  </si>
  <si>
    <t>Do stlpca E vlozte vzorec, ktory vypise, ci dany clovek vykonaval "Gardening" alebo stravil viac ako tri hodiny touto aktivitou.</t>
  </si>
  <si>
    <t>Do stlpca D vlozte vzorec, ktory vypise, ci dany clovek vykonaval "Gardening" a stravil viac ako tri hodiny touto aktivitou.</t>
  </si>
  <si>
    <t>Pomocou vzorca zistite, ci sa zamestnanci kvalifikuju na Green Sustainability bonus v spolocnosti. Bonus je urceny len pre ludi, ktori vykonavali zahradnicke prace.</t>
  </si>
  <si>
    <t xml:space="preserve">Pomocou vzorca a vhodnej funkcie pridelte financny bonus timu podla tabulky. </t>
  </si>
  <si>
    <t>Doplnte stlpce Bonus a Christmas bonus podla vykonnosti kazdeho zamestnanca. Dbajte na to, aby boli splnene podmienky v pomocnych tabulkach.</t>
  </si>
  <si>
    <t>REDBULL RACING HONDA RBPT</t>
  </si>
  <si>
    <t>KICK SAUBER FERRARI</t>
  </si>
  <si>
    <t>RB HONDA RBPT</t>
  </si>
  <si>
    <t>45 - 0</t>
  </si>
  <si>
    <t>99 - 46</t>
  </si>
  <si>
    <t>ulohy</t>
  </si>
  <si>
    <t>to je ako polozena tato otazka LOL, som priliz sprosti aby som toto tu chapal 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</si>
</sst>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\ &quot;€&quot;"/>
    <numFmt numFmtId="165" formatCode="#,##0.00\ &quot;€&quot;"/>
    <numFmt numFmtId="166" formatCode="#&quot; h&quot;"/>
  </numFmts>
  <fonts count="2" x14ac:knownFonts="1">
    <font>
      <sz val="12"/>
      <color theme="1"/>
      <name val="Calibri"/>
      <family val="2"/>
      <charset val="238"/>
      <scheme val="minor"/>
    </font>
    <font>
      <sz val="12"/>
      <color theme="0"/>
      <name val="Calibri"/>
      <family val="2"/>
      <charset val="23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2" borderId="0" xfId="0" applyFont="1" applyFill="1" applyAlignment="1">
      <alignment horizontal="center"/>
    </xf>
    <xf numFmtId="164" fontId="0" fillId="0" borderId="0" xfId="0" applyNumberFormat="1"/>
    <xf numFmtId="0" fontId="0" fillId="2" borderId="0" xfId="0" applyFill="1"/>
    <xf numFmtId="165" fontId="0" fillId="0" borderId="0" xfId="0" applyNumberFormat="1"/>
    <xf numFmtId="0" fontId="0" fillId="4" borderId="1" xfId="0" applyFill="1" applyBorder="1"/>
    <xf numFmtId="164" fontId="0" fillId="0" borderId="1" xfId="0" applyNumberFormat="1" applyBorder="1"/>
    <xf numFmtId="9" fontId="0" fillId="0" borderId="1" xfId="0" applyNumberFormat="1" applyBorder="1"/>
    <xf numFmtId="0" fontId="1" fillId="5" borderId="1" xfId="0" applyFont="1" applyFill="1" applyBorder="1"/>
    <xf numFmtId="0" fontId="0" fillId="6" borderId="1" xfId="0" applyFill="1" applyBorder="1"/>
    <xf numFmtId="0" fontId="0" fillId="6" borderId="2" xfId="0" applyFill="1" applyBorder="1"/>
    <xf numFmtId="0" fontId="0" fillId="6" borderId="5" xfId="0" applyFill="1" applyBorder="1"/>
    <xf numFmtId="0" fontId="0" fillId="6" borderId="6" xfId="0" applyFill="1" applyBorder="1"/>
    <xf numFmtId="0" fontId="0" fillId="0" borderId="5" xfId="0" applyBorder="1"/>
    <xf numFmtId="0" fontId="0" fillId="0" borderId="7" xfId="0" applyBorder="1"/>
    <xf numFmtId="0" fontId="0" fillId="6" borderId="11" xfId="0" applyFill="1" applyBorder="1"/>
    <xf numFmtId="164" fontId="0" fillId="0" borderId="11" xfId="0" applyNumberFormat="1" applyBorder="1"/>
    <xf numFmtId="164" fontId="0" fillId="0" borderId="8" xfId="0" applyNumberFormat="1" applyBorder="1"/>
    <xf numFmtId="164" fontId="0" fillId="0" borderId="12" xfId="0" applyNumberFormat="1" applyBorder="1"/>
    <xf numFmtId="164" fontId="0" fillId="0" borderId="5" xfId="0" applyNumberFormat="1" applyBorder="1"/>
    <xf numFmtId="0" fontId="0" fillId="0" borderId="1" xfId="0" applyBorder="1"/>
    <xf numFmtId="0" fontId="0" fillId="0" borderId="6" xfId="0" applyBorder="1"/>
    <xf numFmtId="0" fontId="0" fillId="0" borderId="9" xfId="0" applyBorder="1"/>
    <xf numFmtId="0" fontId="0" fillId="0" borderId="8" xfId="0" applyBorder="1"/>
    <xf numFmtId="0" fontId="0" fillId="6" borderId="2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166" fontId="0" fillId="0" borderId="11" xfId="0" applyNumberFormat="1" applyBorder="1"/>
    <xf numFmtId="166" fontId="0" fillId="0" borderId="12" xfId="0" applyNumberFormat="1" applyBorder="1"/>
    <xf numFmtId="0" fontId="0" fillId="0" borderId="1" xfId="0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3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A87C9-8553-DD4D-8AE5-216497F112FE}">
  <sheetPr codeName="Hárok1"/>
  <dimension ref="A1:E21"/>
  <sheetViews>
    <sheetView workbookViewId="0">
      <selection activeCell="H16" sqref="H16"/>
    </sheetView>
  </sheetViews>
  <sheetFormatPr defaultColWidth="11.19921875" defaultRowHeight="15.6" x14ac:dyDescent="0.3"/>
  <cols>
    <col min="4" max="4" width="16.69921875" bestFit="1" customWidth="1"/>
    <col min="5" max="5" width="14.09765625" bestFit="1" customWidth="1"/>
  </cols>
  <sheetData>
    <row r="1" spans="1:5" x14ac:dyDescent="0.3">
      <c r="A1" s="24" t="s">
        <v>51</v>
      </c>
      <c r="B1" s="25"/>
    </row>
    <row r="2" spans="1:5" x14ac:dyDescent="0.3">
      <c r="A2" s="11" t="s">
        <v>37</v>
      </c>
      <c r="B2" s="12" t="s">
        <v>38</v>
      </c>
    </row>
    <row r="3" spans="1:5" x14ac:dyDescent="0.3">
      <c r="A3" s="13" t="s">
        <v>39</v>
      </c>
      <c r="B3" s="21" t="s">
        <v>43</v>
      </c>
    </row>
    <row r="4" spans="1:5" x14ac:dyDescent="0.3">
      <c r="A4" s="13" t="s">
        <v>40</v>
      </c>
      <c r="B4" s="21" t="s">
        <v>44</v>
      </c>
    </row>
    <row r="5" spans="1:5" x14ac:dyDescent="0.3">
      <c r="A5" s="13" t="s">
        <v>41</v>
      </c>
      <c r="B5" s="21" t="s">
        <v>45</v>
      </c>
    </row>
    <row r="6" spans="1:5" x14ac:dyDescent="0.3">
      <c r="A6" s="13" t="s">
        <v>42</v>
      </c>
      <c r="B6" s="21" t="s">
        <v>46</v>
      </c>
    </row>
    <row r="7" spans="1:5" x14ac:dyDescent="0.3">
      <c r="A7" s="13" t="s">
        <v>47</v>
      </c>
      <c r="B7" s="21" t="s">
        <v>48</v>
      </c>
    </row>
    <row r="8" spans="1:5" x14ac:dyDescent="0.3">
      <c r="A8" s="13" t="s">
        <v>19</v>
      </c>
      <c r="B8" s="21" t="s">
        <v>45</v>
      </c>
    </row>
    <row r="9" spans="1:5" ht="16.2" thickBot="1" x14ac:dyDescent="0.35">
      <c r="A9" s="14" t="s">
        <v>49</v>
      </c>
      <c r="B9" s="22" t="s">
        <v>50</v>
      </c>
    </row>
    <row r="10" spans="1:5" x14ac:dyDescent="0.3">
      <c r="D10" s="24" t="s">
        <v>52</v>
      </c>
      <c r="E10" s="25"/>
    </row>
    <row r="11" spans="1:5" x14ac:dyDescent="0.3">
      <c r="D11" s="11" t="s">
        <v>37</v>
      </c>
      <c r="E11" s="12" t="s">
        <v>53</v>
      </c>
    </row>
    <row r="12" spans="1:5" x14ac:dyDescent="0.3">
      <c r="D12" s="13" t="s">
        <v>39</v>
      </c>
      <c r="E12" s="21" t="str">
        <f>IF(B3="Gardening", "Kvalifikovaný", "Nekvalifikovaný")</f>
        <v>Nekvalifikovaný</v>
      </c>
    </row>
    <row r="13" spans="1:5" x14ac:dyDescent="0.3">
      <c r="D13" s="13" t="s">
        <v>40</v>
      </c>
      <c r="E13" s="21" t="str">
        <f t="shared" ref="E13:E18" si="0">IF(B4="Gardening", "Kvalifikovaný", "Nekvalifikovaný")</f>
        <v>Nekvalifikovaný</v>
      </c>
    </row>
    <row r="14" spans="1:5" x14ac:dyDescent="0.3">
      <c r="D14" s="13" t="s">
        <v>41</v>
      </c>
      <c r="E14" s="21" t="str">
        <f t="shared" si="0"/>
        <v>Kvalifikovaný</v>
      </c>
    </row>
    <row r="15" spans="1:5" x14ac:dyDescent="0.3">
      <c r="D15" s="13" t="s">
        <v>42</v>
      </c>
      <c r="E15" s="21" t="str">
        <f t="shared" si="0"/>
        <v>Nekvalifikovaný</v>
      </c>
    </row>
    <row r="16" spans="1:5" x14ac:dyDescent="0.3">
      <c r="D16" s="13" t="s">
        <v>47</v>
      </c>
      <c r="E16" s="21" t="str">
        <f t="shared" si="0"/>
        <v>Nekvalifikovaný</v>
      </c>
    </row>
    <row r="17" spans="1:5" x14ac:dyDescent="0.3">
      <c r="D17" s="13" t="s">
        <v>19</v>
      </c>
      <c r="E17" s="21" t="str">
        <f t="shared" si="0"/>
        <v>Kvalifikovaný</v>
      </c>
    </row>
    <row r="18" spans="1:5" ht="16.2" thickBot="1" x14ac:dyDescent="0.35">
      <c r="D18" s="14" t="s">
        <v>49</v>
      </c>
      <c r="E18" s="21" t="str">
        <f t="shared" si="0"/>
        <v>Nekvalifikovaný</v>
      </c>
    </row>
    <row r="21" spans="1:5" x14ac:dyDescent="0.3">
      <c r="A21" t="s">
        <v>58</v>
      </c>
    </row>
  </sheetData>
  <mergeCells count="2">
    <mergeCell ref="A1:B1"/>
    <mergeCell ref="D10:E10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BE519-708F-254A-83F6-889ABE268038}">
  <sheetPr codeName="Hárok4"/>
  <dimension ref="A1:J15"/>
  <sheetViews>
    <sheetView zoomScale="79" zoomScaleNormal="160" workbookViewId="0">
      <selection activeCell="E3" sqref="E3"/>
    </sheetView>
  </sheetViews>
  <sheetFormatPr defaultColWidth="11.19921875" defaultRowHeight="15.6" x14ac:dyDescent="0.3"/>
  <cols>
    <col min="4" max="4" width="15.09765625" customWidth="1"/>
  </cols>
  <sheetData>
    <row r="1" spans="1:10" x14ac:dyDescent="0.3">
      <c r="A1" s="24" t="s">
        <v>51</v>
      </c>
      <c r="B1" s="26"/>
      <c r="C1" s="25"/>
    </row>
    <row r="2" spans="1:10" x14ac:dyDescent="0.3">
      <c r="A2" s="11" t="s">
        <v>37</v>
      </c>
      <c r="B2" s="9" t="s">
        <v>38</v>
      </c>
      <c r="C2" s="15" t="s">
        <v>54</v>
      </c>
      <c r="D2" s="34" t="s">
        <v>66</v>
      </c>
      <c r="E2" s="35"/>
    </row>
    <row r="3" spans="1:10" x14ac:dyDescent="0.3">
      <c r="A3" s="13" t="s">
        <v>39</v>
      </c>
      <c r="B3" s="20" t="s">
        <v>43</v>
      </c>
      <c r="C3" s="31">
        <v>2</v>
      </c>
      <c r="D3" s="33" t="str">
        <f>IF(AND(B3="Gardening", C3&gt;3),"Áno","Nie")</f>
        <v>Nie</v>
      </c>
      <c r="E3" s="20" t="str">
        <f>IF(OR(B3="Gardening", C3&gt;3),"Áno","Nie")</f>
        <v>Nie</v>
      </c>
    </row>
    <row r="4" spans="1:10" x14ac:dyDescent="0.3">
      <c r="A4" s="13" t="s">
        <v>40</v>
      </c>
      <c r="B4" s="20" t="s">
        <v>44</v>
      </c>
      <c r="C4" s="31">
        <v>6</v>
      </c>
      <c r="D4" s="33" t="str">
        <f t="shared" ref="D4:D9" si="0">IF(AND(B4="Gardening", C4&gt;3),"Áno","Nie")</f>
        <v>Nie</v>
      </c>
      <c r="E4" s="20" t="str">
        <f t="shared" ref="E4:E9" si="1">IF(OR(B4="Gardening", C4&gt;3),"Áno","Nie")</f>
        <v>Áno</v>
      </c>
    </row>
    <row r="5" spans="1:10" x14ac:dyDescent="0.3">
      <c r="A5" s="13" t="s">
        <v>41</v>
      </c>
      <c r="B5" s="20" t="s">
        <v>45</v>
      </c>
      <c r="C5" s="31">
        <v>4.5</v>
      </c>
      <c r="D5" s="33" t="str">
        <f t="shared" si="0"/>
        <v>Áno</v>
      </c>
      <c r="E5" s="20" t="str">
        <f t="shared" si="1"/>
        <v>Áno</v>
      </c>
    </row>
    <row r="6" spans="1:10" x14ac:dyDescent="0.3">
      <c r="A6" s="13" t="s">
        <v>42</v>
      </c>
      <c r="B6" s="20" t="s">
        <v>46</v>
      </c>
      <c r="C6" s="31">
        <v>2</v>
      </c>
      <c r="D6" s="33" t="str">
        <f t="shared" si="0"/>
        <v>Nie</v>
      </c>
      <c r="E6" s="20" t="str">
        <f t="shared" si="1"/>
        <v>Nie</v>
      </c>
    </row>
    <row r="7" spans="1:10" x14ac:dyDescent="0.3">
      <c r="A7" s="13" t="s">
        <v>47</v>
      </c>
      <c r="B7" s="20" t="s">
        <v>48</v>
      </c>
      <c r="C7" s="31">
        <v>3</v>
      </c>
      <c r="D7" s="33" t="str">
        <f t="shared" si="0"/>
        <v>Nie</v>
      </c>
      <c r="E7" s="20" t="str">
        <f t="shared" si="1"/>
        <v>Nie</v>
      </c>
    </row>
    <row r="8" spans="1:10" x14ac:dyDescent="0.3">
      <c r="A8" s="13" t="s">
        <v>19</v>
      </c>
      <c r="B8" s="20" t="s">
        <v>45</v>
      </c>
      <c r="C8" s="31">
        <v>5</v>
      </c>
      <c r="D8" s="33" t="str">
        <f t="shared" si="0"/>
        <v>Áno</v>
      </c>
      <c r="E8" s="20" t="str">
        <f t="shared" si="1"/>
        <v>Áno</v>
      </c>
    </row>
    <row r="9" spans="1:10" ht="16.2" thickBot="1" x14ac:dyDescent="0.35">
      <c r="A9" s="14" t="s">
        <v>49</v>
      </c>
      <c r="B9" s="23" t="s">
        <v>50</v>
      </c>
      <c r="C9" s="32">
        <v>25</v>
      </c>
      <c r="D9" s="33" t="str">
        <f t="shared" si="0"/>
        <v>Nie</v>
      </c>
      <c r="E9" s="20" t="str">
        <f t="shared" si="1"/>
        <v>Áno</v>
      </c>
    </row>
    <row r="14" spans="1:10" x14ac:dyDescent="0.3">
      <c r="A14" t="s">
        <v>57</v>
      </c>
    </row>
    <row r="15" spans="1:10" x14ac:dyDescent="0.3">
      <c r="A15" t="s">
        <v>56</v>
      </c>
      <c r="J15" t="s">
        <v>67</v>
      </c>
    </row>
  </sheetData>
  <mergeCells count="2">
    <mergeCell ref="A1:C1"/>
    <mergeCell ref="D2:E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C46C3-D668-A348-B6EF-54C23E2F573A}">
  <sheetPr codeName="Hárok2"/>
  <dimension ref="A1:H18"/>
  <sheetViews>
    <sheetView zoomScale="66" zoomScaleNormal="210" workbookViewId="0">
      <selection activeCell="M13" sqref="M13"/>
    </sheetView>
  </sheetViews>
  <sheetFormatPr defaultColWidth="11.19921875" defaultRowHeight="15.6" x14ac:dyDescent="0.3"/>
  <cols>
    <col min="1" max="1" width="12.296875" bestFit="1" customWidth="1"/>
    <col min="4" max="4" width="13.5" bestFit="1" customWidth="1"/>
    <col min="7" max="7" width="17.69921875" bestFit="1" customWidth="1"/>
    <col min="8" max="8" width="14.69921875" bestFit="1" customWidth="1"/>
  </cols>
  <sheetData>
    <row r="1" spans="1:8" x14ac:dyDescent="0.3">
      <c r="A1" s="27" t="s">
        <v>24</v>
      </c>
      <c r="B1" s="27"/>
      <c r="D1" s="28" t="s">
        <v>26</v>
      </c>
      <c r="E1" s="28"/>
    </row>
    <row r="2" spans="1:8" x14ac:dyDescent="0.3">
      <c r="A2" s="5" t="s">
        <v>25</v>
      </c>
      <c r="B2" s="5" t="s">
        <v>18</v>
      </c>
      <c r="D2" s="8" t="s">
        <v>27</v>
      </c>
      <c r="E2" s="6">
        <v>1000</v>
      </c>
    </row>
    <row r="3" spans="1:8" x14ac:dyDescent="0.3">
      <c r="A3" s="6">
        <v>500</v>
      </c>
      <c r="B3" s="7">
        <v>0.1</v>
      </c>
      <c r="D3" s="8" t="s">
        <v>28</v>
      </c>
      <c r="E3" s="6">
        <v>400</v>
      </c>
    </row>
    <row r="4" spans="1:8" x14ac:dyDescent="0.3">
      <c r="A4" s="6">
        <v>1000</v>
      </c>
      <c r="B4" s="7">
        <v>0.2</v>
      </c>
      <c r="D4" s="8" t="s">
        <v>29</v>
      </c>
      <c r="E4" s="7">
        <v>0.35</v>
      </c>
      <c r="F4" t="s">
        <v>55</v>
      </c>
    </row>
    <row r="5" spans="1:8" x14ac:dyDescent="0.3">
      <c r="A5" s="6">
        <v>1500</v>
      </c>
      <c r="B5" s="7">
        <v>0.3</v>
      </c>
    </row>
    <row r="7" spans="1:8" ht="16.2" thickBot="1" x14ac:dyDescent="0.35"/>
    <row r="8" spans="1:8" x14ac:dyDescent="0.3">
      <c r="A8" s="10" t="s">
        <v>12</v>
      </c>
      <c r="B8" s="26" t="s">
        <v>35</v>
      </c>
      <c r="C8" s="26"/>
      <c r="D8" s="26"/>
      <c r="E8" s="29"/>
      <c r="F8" s="24"/>
      <c r="G8" s="26"/>
      <c r="H8" s="25"/>
    </row>
    <row r="9" spans="1:8" x14ac:dyDescent="0.3">
      <c r="A9" s="11" t="s">
        <v>30</v>
      </c>
      <c r="B9" s="9" t="s">
        <v>13</v>
      </c>
      <c r="C9" s="9" t="s">
        <v>14</v>
      </c>
      <c r="D9" s="9" t="s">
        <v>15</v>
      </c>
      <c r="E9" s="15" t="s">
        <v>16</v>
      </c>
      <c r="F9" s="11" t="s">
        <v>17</v>
      </c>
      <c r="G9" s="9" t="s">
        <v>18</v>
      </c>
      <c r="H9" s="12" t="s">
        <v>26</v>
      </c>
    </row>
    <row r="10" spans="1:8" x14ac:dyDescent="0.3">
      <c r="A10" s="13" t="s">
        <v>36</v>
      </c>
      <c r="B10" s="6">
        <v>120</v>
      </c>
      <c r="C10" s="6">
        <v>100</v>
      </c>
      <c r="D10" s="6">
        <v>129</v>
      </c>
      <c r="E10" s="16">
        <v>150</v>
      </c>
      <c r="F10" s="19">
        <f>SUM(B10:E10)</f>
        <v>499</v>
      </c>
      <c r="G10" s="20">
        <f>IF(F10&lt;500, 0, IF(F10&lt;1000, F10*0.1, IF(F10&lt;1500, F10*0.2, F10*0.3)))</f>
        <v>0</v>
      </c>
      <c r="H10" s="21">
        <f>IF(AND(F10&gt;=1000, E10&gt;=400), E10*0.35, 0)</f>
        <v>0</v>
      </c>
    </row>
    <row r="11" spans="1:8" x14ac:dyDescent="0.3">
      <c r="A11" s="13" t="s">
        <v>31</v>
      </c>
      <c r="B11" s="6">
        <v>500</v>
      </c>
      <c r="C11" s="6">
        <v>450</v>
      </c>
      <c r="D11" s="6">
        <v>500</v>
      </c>
      <c r="E11" s="16">
        <v>650</v>
      </c>
      <c r="F11" s="19">
        <f t="shared" ref="F11:F14" si="0">SUM(B11:E11)</f>
        <v>2100</v>
      </c>
      <c r="G11" s="20">
        <f t="shared" ref="G11:G14" si="1">IF(F11&lt;500, 0, IF(F11&lt;1000, F11*0.1, IF(F11&lt;1500, F11*0.2, F11*0.3)))</f>
        <v>630</v>
      </c>
      <c r="H11" s="21">
        <f t="shared" ref="H11:H14" si="2">IF(AND(F11&gt;=1000, E11&gt;=400), E11*0.35, 0)</f>
        <v>227.49999999999997</v>
      </c>
    </row>
    <row r="12" spans="1:8" x14ac:dyDescent="0.3">
      <c r="A12" s="13" t="s">
        <v>32</v>
      </c>
      <c r="B12" s="6">
        <v>250</v>
      </c>
      <c r="C12" s="6">
        <v>400</v>
      </c>
      <c r="D12" s="6">
        <v>170</v>
      </c>
      <c r="E12" s="16">
        <v>200</v>
      </c>
      <c r="F12" s="19">
        <f t="shared" si="0"/>
        <v>1020</v>
      </c>
      <c r="G12" s="20">
        <f t="shared" si="1"/>
        <v>204</v>
      </c>
      <c r="H12" s="21">
        <f t="shared" si="2"/>
        <v>0</v>
      </c>
    </row>
    <row r="13" spans="1:8" x14ac:dyDescent="0.3">
      <c r="A13" s="13" t="s">
        <v>33</v>
      </c>
      <c r="B13" s="6">
        <v>400</v>
      </c>
      <c r="C13" s="6">
        <v>460</v>
      </c>
      <c r="D13" s="6">
        <v>510</v>
      </c>
      <c r="E13" s="16">
        <v>410</v>
      </c>
      <c r="F13" s="19">
        <f t="shared" si="0"/>
        <v>1780</v>
      </c>
      <c r="G13" s="20">
        <f t="shared" si="1"/>
        <v>534</v>
      </c>
      <c r="H13" s="21">
        <f t="shared" si="2"/>
        <v>143.5</v>
      </c>
    </row>
    <row r="14" spans="1:8" ht="16.2" thickBot="1" x14ac:dyDescent="0.35">
      <c r="A14" s="14" t="s">
        <v>34</v>
      </c>
      <c r="B14" s="17">
        <v>130</v>
      </c>
      <c r="C14" s="17">
        <v>200</v>
      </c>
      <c r="D14" s="17">
        <v>50</v>
      </c>
      <c r="E14" s="18">
        <v>750</v>
      </c>
      <c r="F14" s="19">
        <f t="shared" si="0"/>
        <v>1130</v>
      </c>
      <c r="G14" s="20">
        <f t="shared" si="1"/>
        <v>226</v>
      </c>
      <c r="H14" s="21">
        <f t="shared" si="2"/>
        <v>262.5</v>
      </c>
    </row>
    <row r="18" spans="1:1" x14ac:dyDescent="0.3">
      <c r="A18" t="s">
        <v>60</v>
      </c>
    </row>
  </sheetData>
  <mergeCells count="4">
    <mergeCell ref="A1:B1"/>
    <mergeCell ref="D1:E1"/>
    <mergeCell ref="B8:E8"/>
    <mergeCell ref="F8:H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A3A44-7430-8E44-BAF1-5F5B57B63D2F}">
  <sheetPr codeName="Hárok3"/>
  <dimension ref="A5:I21"/>
  <sheetViews>
    <sheetView tabSelected="1" topLeftCell="A4" zoomScale="109" zoomScaleNormal="260" workbookViewId="0">
      <selection activeCell="E10" sqref="E10"/>
    </sheetView>
  </sheetViews>
  <sheetFormatPr defaultColWidth="11.19921875" defaultRowHeight="15.6" x14ac:dyDescent="0.3"/>
  <cols>
    <col min="1" max="1" width="3.19921875" bestFit="1" customWidth="1"/>
    <col min="2" max="2" width="32.5" bestFit="1" customWidth="1"/>
    <col min="4" max="4" width="11.69921875" bestFit="1" customWidth="1"/>
    <col min="8" max="8" width="14.69921875" bestFit="1" customWidth="1"/>
  </cols>
  <sheetData>
    <row r="5" spans="1:9" x14ac:dyDescent="0.3">
      <c r="H5" s="30" t="s">
        <v>8</v>
      </c>
      <c r="I5" s="30"/>
    </row>
    <row r="6" spans="1:9" x14ac:dyDescent="0.3">
      <c r="A6" s="30" t="s">
        <v>7</v>
      </c>
      <c r="B6" s="30"/>
      <c r="C6" s="30"/>
      <c r="D6" s="3"/>
      <c r="H6" t="s">
        <v>9</v>
      </c>
      <c r="I6" s="2">
        <v>500000</v>
      </c>
    </row>
    <row r="7" spans="1:9" x14ac:dyDescent="0.3">
      <c r="A7" s="1" t="s">
        <v>20</v>
      </c>
      <c r="B7" s="1" t="s">
        <v>21</v>
      </c>
      <c r="C7" s="1" t="s">
        <v>22</v>
      </c>
      <c r="D7" s="1" t="s">
        <v>23</v>
      </c>
      <c r="H7" t="s">
        <v>10</v>
      </c>
      <c r="I7" s="2">
        <v>250000</v>
      </c>
    </row>
    <row r="8" spans="1:9" x14ac:dyDescent="0.3">
      <c r="A8">
        <v>1</v>
      </c>
      <c r="B8" t="s">
        <v>3</v>
      </c>
      <c r="C8">
        <v>666</v>
      </c>
      <c r="D8" s="4">
        <f t="shared" ref="D8:D16" si="0">IF(C8&gt;600,500000,IF(C8&gt;=300,250000,IF(C8&gt;=100,100000,IF(C8&gt;=46,50000,20000))))</f>
        <v>500000</v>
      </c>
      <c r="H8" t="s">
        <v>11</v>
      </c>
      <c r="I8" s="2">
        <v>100000</v>
      </c>
    </row>
    <row r="9" spans="1:9" x14ac:dyDescent="0.3">
      <c r="A9">
        <v>2</v>
      </c>
      <c r="B9" t="s">
        <v>0</v>
      </c>
      <c r="C9">
        <v>652</v>
      </c>
      <c r="D9" s="4">
        <f t="shared" si="0"/>
        <v>500000</v>
      </c>
      <c r="H9" t="s">
        <v>65</v>
      </c>
      <c r="I9" s="2">
        <v>50000</v>
      </c>
    </row>
    <row r="10" spans="1:9" x14ac:dyDescent="0.3">
      <c r="A10">
        <v>3</v>
      </c>
      <c r="B10" t="s">
        <v>61</v>
      </c>
      <c r="C10">
        <v>589</v>
      </c>
      <c r="D10" s="4">
        <f t="shared" si="0"/>
        <v>250000</v>
      </c>
      <c r="H10" t="s">
        <v>64</v>
      </c>
      <c r="I10" s="2">
        <v>20000</v>
      </c>
    </row>
    <row r="11" spans="1:9" x14ac:dyDescent="0.3">
      <c r="A11">
        <v>4</v>
      </c>
      <c r="B11" t="s">
        <v>1</v>
      </c>
      <c r="C11">
        <v>468</v>
      </c>
      <c r="D11" s="4">
        <f t="shared" si="0"/>
        <v>250000</v>
      </c>
    </row>
    <row r="12" spans="1:9" x14ac:dyDescent="0.3">
      <c r="A12">
        <v>5</v>
      </c>
      <c r="B12" t="s">
        <v>4</v>
      </c>
      <c r="C12">
        <v>94</v>
      </c>
      <c r="D12" s="4">
        <f t="shared" si="0"/>
        <v>50000</v>
      </c>
    </row>
    <row r="13" spans="1:9" x14ac:dyDescent="0.3">
      <c r="A13">
        <v>6</v>
      </c>
      <c r="B13" t="s">
        <v>2</v>
      </c>
      <c r="C13">
        <v>65</v>
      </c>
      <c r="D13" s="4">
        <f t="shared" si="0"/>
        <v>50000</v>
      </c>
    </row>
    <row r="14" spans="1:9" x14ac:dyDescent="0.3">
      <c r="A14">
        <v>7</v>
      </c>
      <c r="B14" t="s">
        <v>5</v>
      </c>
      <c r="C14">
        <v>58</v>
      </c>
      <c r="D14" s="4">
        <f t="shared" si="0"/>
        <v>50000</v>
      </c>
    </row>
    <row r="15" spans="1:9" x14ac:dyDescent="0.3">
      <c r="A15">
        <v>8</v>
      </c>
      <c r="B15" t="s">
        <v>63</v>
      </c>
      <c r="C15">
        <v>46</v>
      </c>
      <c r="D15" s="4">
        <f t="shared" si="0"/>
        <v>50000</v>
      </c>
    </row>
    <row r="16" spans="1:9" x14ac:dyDescent="0.3">
      <c r="A16">
        <v>9</v>
      </c>
      <c r="B16" t="s">
        <v>6</v>
      </c>
      <c r="C16">
        <v>17</v>
      </c>
      <c r="D16" s="4">
        <f t="shared" si="0"/>
        <v>20000</v>
      </c>
    </row>
    <row r="17" spans="1:4" x14ac:dyDescent="0.3">
      <c r="A17">
        <v>10</v>
      </c>
      <c r="B17" t="s">
        <v>62</v>
      </c>
      <c r="C17">
        <v>4</v>
      </c>
      <c r="D17" s="4">
        <f>IF(C17&gt;600,500000,IF(C17&gt;=300,250000,IF(C17&gt;=100,100000,IF(C17&gt;=46,50000,20000))))</f>
        <v>20000</v>
      </c>
    </row>
    <row r="21" spans="1:4" x14ac:dyDescent="0.3">
      <c r="B21" t="s">
        <v>59</v>
      </c>
    </row>
  </sheetData>
  <mergeCells count="2">
    <mergeCell ref="A6:C6"/>
    <mergeCell ref="H5:I5"/>
  </mergeCell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bde4dffc-4b60-4cf6-8b04-a5eeb25f5c4f}" enabled="0" method="" siteId="{bde4dffc-4b60-4cf6-8b04-a5eeb25f5c4f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What if </vt:lpstr>
      <vt:lpstr>Combine that</vt:lpstr>
      <vt:lpstr>DunderMifflin sales</vt:lpstr>
      <vt:lpstr>F1 constructors standings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Matus Cicvara</dc:creator>
  <cp:lastModifiedBy>Papaj, Matej</cp:lastModifiedBy>
  <dcterms:created xsi:type="dcterms:W3CDTF">2023-03-13T08:28:05Z</dcterms:created>
  <dcterms:modified xsi:type="dcterms:W3CDTF">2025-04-16T06:47:41Z</dcterms:modified>
</cp:coreProperties>
</file>